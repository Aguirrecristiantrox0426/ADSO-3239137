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8_{42F3997F-8A7F-4D4F-9B91-6D09A1C5DEA5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TINENTE" sheetId="1" r:id="rId1"/>
    <sheet name="PAIS" sheetId="2" r:id="rId2"/>
    <sheet name="DEPARTAMENTO" sheetId="3" r:id="rId3"/>
    <sheet name="MUNICIPIO" sheetId="4" r:id="rId4"/>
    <sheet name="BARRIO" sheetId="5" r:id="rId5"/>
    <sheet name="PRODUCTO" sheetId="6" r:id="rId6"/>
    <sheet name="PEDIDO" sheetId="7" r:id="rId7"/>
    <sheet name="CONSUL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E9" i="8"/>
  <c r="B9" i="8"/>
  <c r="E8" i="8"/>
  <c r="B8" i="8"/>
  <c r="E7" i="8"/>
  <c r="B7" i="8"/>
  <c r="E6" i="8"/>
  <c r="B6" i="8"/>
  <c r="B13" i="8" s="1"/>
  <c r="E5" i="8"/>
  <c r="B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Modelo según el diagrama: PEDIDO(codigo, direccion, producto_id, barrio_destino_id, municipio_origen_id).</t>
        </r>
      </text>
    </comment>
  </commentList>
</comments>
</file>

<file path=xl/sharedStrings.xml><?xml version="1.0" encoding="utf-8"?>
<sst xmlns="http://schemas.openxmlformats.org/spreadsheetml/2006/main" count="102" uniqueCount="85">
  <si>
    <t>codigo</t>
  </si>
  <si>
    <t>nombre</t>
  </si>
  <si>
    <t>descripcion</t>
  </si>
  <si>
    <t>América</t>
  </si>
  <si>
    <t>Continente americano</t>
  </si>
  <si>
    <t>Europa</t>
  </si>
  <si>
    <t>Continente europeo</t>
  </si>
  <si>
    <t>Asia</t>
  </si>
  <si>
    <t>Continente asiático</t>
  </si>
  <si>
    <t>continente_id</t>
  </si>
  <si>
    <t>Colombia</t>
  </si>
  <si>
    <t>País de América del Sur</t>
  </si>
  <si>
    <t>México</t>
  </si>
  <si>
    <t>País de América del Norte</t>
  </si>
  <si>
    <t>España</t>
  </si>
  <si>
    <t>País de Europa occidental</t>
  </si>
  <si>
    <t>Japón</t>
  </si>
  <si>
    <t>País de Asia oriental</t>
  </si>
  <si>
    <t>pais_id</t>
  </si>
  <si>
    <t>Cundinamarca</t>
  </si>
  <si>
    <t>Departamento de Colombia</t>
  </si>
  <si>
    <t>Antioquia</t>
  </si>
  <si>
    <t>Jalisco</t>
  </si>
  <si>
    <t>Estado de México</t>
  </si>
  <si>
    <t>Madrid</t>
  </si>
  <si>
    <t>Comunidad de España</t>
  </si>
  <si>
    <t>Tokio</t>
  </si>
  <si>
    <t>Prefectura de Japón</t>
  </si>
  <si>
    <t>departamento_id</t>
  </si>
  <si>
    <t>Bogotá</t>
  </si>
  <si>
    <t>Capital de Colombia</t>
  </si>
  <si>
    <t>Medellín</t>
  </si>
  <si>
    <t>Ciudad de Antioquia</t>
  </si>
  <si>
    <t>Guadalajara</t>
  </si>
  <si>
    <t>Ciudad de Jalisco</t>
  </si>
  <si>
    <t>Capital de España</t>
  </si>
  <si>
    <t>Shinjuku</t>
  </si>
  <si>
    <t>Distrito de Tokio</t>
  </si>
  <si>
    <t>municipio_id</t>
  </si>
  <si>
    <t>Chapinero</t>
  </si>
  <si>
    <t>Barrio comercial y residencial</t>
  </si>
  <si>
    <t>El Poblado</t>
  </si>
  <si>
    <t>Zona urbana de Medellín</t>
  </si>
  <si>
    <t>Americana</t>
  </si>
  <si>
    <t>Barrio tradicional de Guadalajara</t>
  </si>
  <si>
    <t>Sol</t>
  </si>
  <si>
    <t>Barrio céntrico de Madrid</t>
  </si>
  <si>
    <t>Kabukicho</t>
  </si>
  <si>
    <t>Barrio comercial de Shinjuku</t>
  </si>
  <si>
    <t>precio</t>
  </si>
  <si>
    <t>Lámpara LED de escritorio</t>
  </si>
  <si>
    <t>Organizador modular</t>
  </si>
  <si>
    <t>Difusor aromático ultrasónico</t>
  </si>
  <si>
    <t>Botella térmica acero</t>
  </si>
  <si>
    <t>Set de recipientes herméticos</t>
  </si>
  <si>
    <t>Almohada ergonómica</t>
  </si>
  <si>
    <t>Cafetera prensa francesa</t>
  </si>
  <si>
    <t>Humidificador compacto</t>
  </si>
  <si>
    <t>direccion</t>
  </si>
  <si>
    <t>producto_id</t>
  </si>
  <si>
    <t>barrio_destino_id</t>
  </si>
  <si>
    <t>municipio_origen_id</t>
  </si>
  <si>
    <t>Calle 63 # 11-20</t>
  </si>
  <si>
    <t>Cra 43A # 6 Sur-15</t>
  </si>
  <si>
    <t>Av. Vallarta 1450</t>
  </si>
  <si>
    <t>Puerta del Sol 8</t>
  </si>
  <si>
    <t>1 Chome-2-3</t>
  </si>
  <si>
    <t>Calle 10 # 32-18</t>
  </si>
  <si>
    <t>Calle 93 # 19-40</t>
  </si>
  <si>
    <t>Calle 70 # 5-55</t>
  </si>
  <si>
    <t>Consulta de trazabilidad del pedido</t>
  </si>
  <si>
    <t>Seleccione código de pedido</t>
  </si>
  <si>
    <t>Dirección</t>
  </si>
  <si>
    <t>Barrio destino</t>
  </si>
  <si>
    <t>Producto</t>
  </si>
  <si>
    <t>Municipio destino</t>
  </si>
  <si>
    <t>Precio</t>
  </si>
  <si>
    <t>Departamento destino</t>
  </si>
  <si>
    <t>Municipio origen</t>
  </si>
  <si>
    <t>País destino</t>
  </si>
  <si>
    <t>Departamento origen</t>
  </si>
  <si>
    <t>Continente destino</t>
  </si>
  <si>
    <t>País origen</t>
  </si>
  <si>
    <t>Continente origen</t>
  </si>
  <si>
    <t>Resumen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</si>
</sst>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3" fillId="3" borderId="0" xfId="0" applyFont="1" applyFill="1"/>
    <xf numFmtId="0" fontId="4" fillId="4" borderId="0" xfId="0" applyFont="1" applyFill="1"/>
    <xf numFmtId="0" fontId="0" fillId="6" borderId="0" xfId="0" applyFill="1"/>
    <xf numFmtId="164" fontId="0" fillId="6" borderId="0" xfId="0" applyNumberFormat="1" applyFill="1"/>
    <xf numFmtId="0" fontId="3" fillId="5" borderId="0" xfId="0" applyFont="1" applyFill="1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ONTINENTE" displayName="T_CONTINENTE" ref="A1:C4">
  <autoFilter ref="A1:C4" xr:uid="{00000000-0009-0000-0100-000001000000}"/>
  <tableColumns count="3">
    <tableColumn id="1" xr3:uid="{00000000-0010-0000-0000-000001000000}" name="codigo"/>
    <tableColumn id="2" xr3:uid="{00000000-0010-0000-0000-000002000000}" name="nombre"/>
    <tableColumn id="3" xr3:uid="{00000000-0010-0000-0000-000003000000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AIS" displayName="T_PAIS" ref="A1:D5">
  <autoFilter ref="A1:D5" xr:uid="{00000000-0009-0000-0100-000002000000}"/>
  <tableColumns count="4">
    <tableColumn id="1" xr3:uid="{00000000-0010-0000-0100-000001000000}" name="codigo"/>
    <tableColumn id="2" xr3:uid="{00000000-0010-0000-0100-000002000000}" name="nombre"/>
    <tableColumn id="3" xr3:uid="{00000000-0010-0000-0100-000003000000}" name="descripcion"/>
    <tableColumn id="4" xr3:uid="{00000000-0010-0000-0100-000004000000}" name="continent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DEPARTAMENTO" displayName="T_DEPARTAMENTO" ref="A1:D6">
  <autoFilter ref="A1:D6" xr:uid="{00000000-0009-0000-0100-000003000000}"/>
  <tableColumns count="4">
    <tableColumn id="1" xr3:uid="{00000000-0010-0000-0200-000001000000}" name="codigo"/>
    <tableColumn id="2" xr3:uid="{00000000-0010-0000-0200-000002000000}" name="nombre"/>
    <tableColumn id="3" xr3:uid="{00000000-0010-0000-0200-000003000000}" name="descripcion"/>
    <tableColumn id="4" xr3:uid="{00000000-0010-0000-0200-000004000000}" name="pais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MUNICIPIO" displayName="T_MUNICIPIO" ref="A1:D6">
  <autoFilter ref="A1:D6" xr:uid="{00000000-0009-0000-0100-000004000000}"/>
  <tableColumns count="4">
    <tableColumn id="1" xr3:uid="{00000000-0010-0000-0300-000001000000}" name="codigo"/>
    <tableColumn id="2" xr3:uid="{00000000-0010-0000-0300-000002000000}" name="nombre"/>
    <tableColumn id="3" xr3:uid="{00000000-0010-0000-0300-000003000000}" name="descripcion"/>
    <tableColumn id="4" xr3:uid="{00000000-0010-0000-0300-000004000000}" name="departamento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BARRIO" displayName="T_BARRIO" ref="A1:D6">
  <autoFilter ref="A1:D6" xr:uid="{00000000-0009-0000-0100-000005000000}"/>
  <tableColumns count="4">
    <tableColumn id="1" xr3:uid="{00000000-0010-0000-0400-000001000000}" name="codigo"/>
    <tableColumn id="2" xr3:uid="{00000000-0010-0000-0400-000002000000}" name="nombre"/>
    <tableColumn id="3" xr3:uid="{00000000-0010-0000-0400-000003000000}" name="descripcion"/>
    <tableColumn id="4" xr3:uid="{00000000-0010-0000-0400-000004000000}" name="municipio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PRODUCTO" displayName="T_PRODUCTO" ref="A1:C9">
  <autoFilter ref="A1:C9" xr:uid="{00000000-0009-0000-0100-000006000000}"/>
  <tableColumns count="3">
    <tableColumn id="1" xr3:uid="{00000000-0010-0000-0500-000001000000}" name="codigo"/>
    <tableColumn id="2" xr3:uid="{00000000-0010-0000-0500-000002000000}" name="nombre"/>
    <tableColumn id="3" xr3:uid="{00000000-0010-0000-0500-000003000000}" name="prec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EDIDO" displayName="T_PEDIDO" ref="A1:E9">
  <autoFilter ref="A1:E9" xr:uid="{00000000-0009-0000-0100-000007000000}"/>
  <tableColumns count="5">
    <tableColumn id="1" xr3:uid="{00000000-0010-0000-0600-000001000000}" name="codigo"/>
    <tableColumn id="2" xr3:uid="{00000000-0010-0000-0600-000002000000}" name="direccion"/>
    <tableColumn id="3" xr3:uid="{00000000-0010-0000-0600-000003000000}" name="producto_id"/>
    <tableColumn id="4" xr3:uid="{00000000-0010-0000-0600-000004000000}" name="barrio_destino_id"/>
    <tableColumn id="5" xr3:uid="{00000000-0010-0000-0600-000005000000}" name="municipio_origen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27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">
      <c r="A2">
        <v>1</v>
      </c>
      <c r="B2" t="s">
        <v>10</v>
      </c>
      <c r="C2" t="s">
        <v>11</v>
      </c>
      <c r="D2">
        <v>1</v>
      </c>
    </row>
    <row r="3" spans="1:4" x14ac:dyDescent="0.3">
      <c r="A3">
        <v>2</v>
      </c>
      <c r="B3" t="s">
        <v>12</v>
      </c>
      <c r="C3" t="s">
        <v>13</v>
      </c>
      <c r="D3">
        <v>1</v>
      </c>
    </row>
    <row r="4" spans="1:4" x14ac:dyDescent="0.3">
      <c r="A4">
        <v>3</v>
      </c>
      <c r="B4" t="s">
        <v>14</v>
      </c>
      <c r="C4" t="s">
        <v>15</v>
      </c>
      <c r="D4">
        <v>2</v>
      </c>
    </row>
    <row r="5" spans="1:4" x14ac:dyDescent="0.3">
      <c r="A5">
        <v>4</v>
      </c>
      <c r="B5" t="s">
        <v>16</v>
      </c>
      <c r="C5" t="s">
        <v>17</v>
      </c>
      <c r="D5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26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">
      <c r="A2">
        <v>1</v>
      </c>
      <c r="B2" t="s">
        <v>19</v>
      </c>
      <c r="C2" t="s">
        <v>20</v>
      </c>
      <c r="D2">
        <v>1</v>
      </c>
    </row>
    <row r="3" spans="1:4" x14ac:dyDescent="0.3">
      <c r="A3">
        <v>2</v>
      </c>
      <c r="B3" t="s">
        <v>21</v>
      </c>
      <c r="C3" t="s">
        <v>20</v>
      </c>
      <c r="D3">
        <v>1</v>
      </c>
    </row>
    <row r="4" spans="1:4" x14ac:dyDescent="0.3">
      <c r="A4">
        <v>3</v>
      </c>
      <c r="B4" t="s">
        <v>22</v>
      </c>
      <c r="C4" t="s">
        <v>23</v>
      </c>
      <c r="D4">
        <v>2</v>
      </c>
    </row>
    <row r="5" spans="1:4" x14ac:dyDescent="0.3">
      <c r="A5">
        <v>4</v>
      </c>
      <c r="B5" t="s">
        <v>24</v>
      </c>
      <c r="C5" t="s">
        <v>25</v>
      </c>
      <c r="D5">
        <v>3</v>
      </c>
    </row>
    <row r="6" spans="1:4" x14ac:dyDescent="0.3">
      <c r="A6">
        <v>5</v>
      </c>
      <c r="B6" t="s">
        <v>26</v>
      </c>
      <c r="C6" t="s">
        <v>27</v>
      </c>
      <c r="D6">
        <v>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21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28</v>
      </c>
    </row>
    <row r="2" spans="1:4" x14ac:dyDescent="0.3">
      <c r="A2">
        <v>1</v>
      </c>
      <c r="B2" t="s">
        <v>29</v>
      </c>
      <c r="C2" t="s">
        <v>30</v>
      </c>
      <c r="D2">
        <v>1</v>
      </c>
    </row>
    <row r="3" spans="1:4" x14ac:dyDescent="0.3">
      <c r="A3">
        <v>2</v>
      </c>
      <c r="B3" t="s">
        <v>31</v>
      </c>
      <c r="C3" t="s">
        <v>32</v>
      </c>
      <c r="D3">
        <v>2</v>
      </c>
    </row>
    <row r="4" spans="1:4" x14ac:dyDescent="0.3">
      <c r="A4">
        <v>3</v>
      </c>
      <c r="B4" t="s">
        <v>33</v>
      </c>
      <c r="C4" t="s">
        <v>34</v>
      </c>
      <c r="D4">
        <v>3</v>
      </c>
    </row>
    <row r="5" spans="1:4" x14ac:dyDescent="0.3">
      <c r="A5">
        <v>4</v>
      </c>
      <c r="B5" t="s">
        <v>24</v>
      </c>
      <c r="C5" t="s">
        <v>35</v>
      </c>
      <c r="D5">
        <v>4</v>
      </c>
    </row>
    <row r="6" spans="1:4" x14ac:dyDescent="0.3">
      <c r="A6">
        <v>5</v>
      </c>
      <c r="B6" t="s">
        <v>36</v>
      </c>
      <c r="C6" t="s">
        <v>37</v>
      </c>
      <c r="D6">
        <v>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28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38</v>
      </c>
    </row>
    <row r="2" spans="1:4" x14ac:dyDescent="0.3">
      <c r="A2">
        <v>1</v>
      </c>
      <c r="B2" t="s">
        <v>39</v>
      </c>
      <c r="C2" t="s">
        <v>40</v>
      </c>
      <c r="D2">
        <v>1</v>
      </c>
    </row>
    <row r="3" spans="1:4" x14ac:dyDescent="0.3">
      <c r="A3">
        <v>2</v>
      </c>
      <c r="B3" t="s">
        <v>41</v>
      </c>
      <c r="C3" t="s">
        <v>42</v>
      </c>
      <c r="D3">
        <v>2</v>
      </c>
    </row>
    <row r="4" spans="1:4" x14ac:dyDescent="0.3">
      <c r="A4">
        <v>3</v>
      </c>
      <c r="B4" t="s">
        <v>43</v>
      </c>
      <c r="C4" t="s">
        <v>44</v>
      </c>
      <c r="D4">
        <v>3</v>
      </c>
    </row>
    <row r="5" spans="1:4" x14ac:dyDescent="0.3">
      <c r="A5">
        <v>4</v>
      </c>
      <c r="B5" t="s">
        <v>45</v>
      </c>
      <c r="C5" t="s">
        <v>46</v>
      </c>
      <c r="D5">
        <v>4</v>
      </c>
    </row>
    <row r="6" spans="1:4" x14ac:dyDescent="0.3">
      <c r="A6">
        <v>5</v>
      </c>
      <c r="B6" t="s">
        <v>47</v>
      </c>
      <c r="C6" t="s">
        <v>48</v>
      </c>
      <c r="D6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49</v>
      </c>
    </row>
    <row r="2" spans="1:3" x14ac:dyDescent="0.3">
      <c r="A2">
        <v>1</v>
      </c>
      <c r="B2" t="s">
        <v>50</v>
      </c>
      <c r="C2" s="2">
        <v>85000</v>
      </c>
    </row>
    <row r="3" spans="1:3" x14ac:dyDescent="0.3">
      <c r="A3">
        <v>2</v>
      </c>
      <c r="B3" t="s">
        <v>51</v>
      </c>
      <c r="C3" s="2">
        <v>62000</v>
      </c>
    </row>
    <row r="4" spans="1:3" x14ac:dyDescent="0.3">
      <c r="A4">
        <v>3</v>
      </c>
      <c r="B4" t="s">
        <v>52</v>
      </c>
      <c r="C4" s="2">
        <v>98000</v>
      </c>
    </row>
    <row r="5" spans="1:3" x14ac:dyDescent="0.3">
      <c r="A5">
        <v>4</v>
      </c>
      <c r="B5" t="s">
        <v>53</v>
      </c>
      <c r="C5" s="2">
        <v>54000</v>
      </c>
    </row>
    <row r="6" spans="1:3" x14ac:dyDescent="0.3">
      <c r="A6">
        <v>5</v>
      </c>
      <c r="B6" t="s">
        <v>54</v>
      </c>
      <c r="C6" s="2">
        <v>73000</v>
      </c>
    </row>
    <row r="7" spans="1:3" x14ac:dyDescent="0.3">
      <c r="A7">
        <v>6</v>
      </c>
      <c r="B7" t="s">
        <v>55</v>
      </c>
      <c r="C7" s="2">
        <v>110000</v>
      </c>
    </row>
    <row r="8" spans="1:3" x14ac:dyDescent="0.3">
      <c r="A8">
        <v>7</v>
      </c>
      <c r="B8" t="s">
        <v>56</v>
      </c>
      <c r="C8" s="2">
        <v>67000</v>
      </c>
    </row>
    <row r="9" spans="1:3" x14ac:dyDescent="0.3">
      <c r="A9">
        <v>8</v>
      </c>
      <c r="B9" t="s">
        <v>57</v>
      </c>
      <c r="C9" s="2">
        <v>89000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0" customWidth="1"/>
    <col min="3" max="3" width="13" customWidth="1"/>
    <col min="4" max="4" width="19" customWidth="1"/>
    <col min="5" max="5" width="21" customWidth="1"/>
  </cols>
  <sheetData>
    <row r="1" spans="1:5" x14ac:dyDescent="0.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>
        <v>1001</v>
      </c>
      <c r="B2" t="s">
        <v>62</v>
      </c>
      <c r="C2">
        <v>1</v>
      </c>
      <c r="D2">
        <v>2</v>
      </c>
      <c r="E2">
        <v>1</v>
      </c>
    </row>
    <row r="3" spans="1:5" x14ac:dyDescent="0.3">
      <c r="A3">
        <v>1002</v>
      </c>
      <c r="B3" t="s">
        <v>63</v>
      </c>
      <c r="C3">
        <v>3</v>
      </c>
      <c r="D3">
        <v>4</v>
      </c>
      <c r="E3">
        <v>1</v>
      </c>
    </row>
    <row r="4" spans="1:5" x14ac:dyDescent="0.3">
      <c r="A4">
        <v>1003</v>
      </c>
      <c r="B4" t="s">
        <v>64</v>
      </c>
      <c r="C4">
        <v>5</v>
      </c>
      <c r="D4">
        <v>3</v>
      </c>
      <c r="E4">
        <v>2</v>
      </c>
    </row>
    <row r="5" spans="1:5" x14ac:dyDescent="0.3">
      <c r="A5">
        <v>1004</v>
      </c>
      <c r="B5" t="s">
        <v>65</v>
      </c>
      <c r="C5">
        <v>7</v>
      </c>
      <c r="D5">
        <v>4</v>
      </c>
      <c r="E5">
        <v>1</v>
      </c>
    </row>
    <row r="6" spans="1:5" x14ac:dyDescent="0.3">
      <c r="A6">
        <v>1005</v>
      </c>
      <c r="B6" t="s">
        <v>66</v>
      </c>
      <c r="C6">
        <v>8</v>
      </c>
      <c r="D6">
        <v>5</v>
      </c>
      <c r="E6">
        <v>1</v>
      </c>
    </row>
    <row r="7" spans="1:5" x14ac:dyDescent="0.3">
      <c r="A7">
        <v>1006</v>
      </c>
      <c r="B7" t="s">
        <v>67</v>
      </c>
      <c r="C7">
        <v>2</v>
      </c>
      <c r="D7">
        <v>2</v>
      </c>
      <c r="E7">
        <v>3</v>
      </c>
    </row>
    <row r="8" spans="1:5" x14ac:dyDescent="0.3">
      <c r="A8">
        <v>1007</v>
      </c>
      <c r="B8" t="s">
        <v>68</v>
      </c>
      <c r="C8">
        <v>6</v>
      </c>
      <c r="D8">
        <v>1</v>
      </c>
      <c r="E8">
        <v>4</v>
      </c>
    </row>
    <row r="9" spans="1:5" x14ac:dyDescent="0.3">
      <c r="A9">
        <v>1008</v>
      </c>
      <c r="B9" t="s">
        <v>69</v>
      </c>
      <c r="C9">
        <v>4</v>
      </c>
      <c r="D9">
        <v>2</v>
      </c>
      <c r="E9">
        <v>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tabSelected="1" workbookViewId="0">
      <pane ySplit="2" topLeftCell="A3" activePane="bottomLeft" state="frozen"/>
      <selection pane="bottomLeft" activeCell="F23" sqref="F23"/>
    </sheetView>
  </sheetViews>
  <sheetFormatPr baseColWidth="10" defaultColWidth="8.88671875" defaultRowHeight="14.4" x14ac:dyDescent="0.3"/>
  <cols>
    <col min="1" max="6" width="24" customWidth="1"/>
  </cols>
  <sheetData>
    <row r="1" spans="1:6" ht="18" x14ac:dyDescent="0.3">
      <c r="A1" s="9" t="s">
        <v>70</v>
      </c>
      <c r="B1" s="8"/>
      <c r="C1" s="8"/>
      <c r="D1" s="8"/>
      <c r="E1" s="8"/>
      <c r="F1" s="8"/>
    </row>
    <row r="3" spans="1:6" x14ac:dyDescent="0.3">
      <c r="A3" s="3" t="s">
        <v>71</v>
      </c>
      <c r="B3" s="4">
        <v>1002</v>
      </c>
    </row>
    <row r="5" spans="1:6" x14ac:dyDescent="0.3">
      <c r="A5" s="3" t="s">
        <v>72</v>
      </c>
      <c r="B5" s="5" t="str">
        <f>VLOOKUP($B$3,PEDIDO!$A:$E,2,FALSE)</f>
        <v>Cra 43A # 6 Sur-15</v>
      </c>
      <c r="D5" s="3" t="s">
        <v>73</v>
      </c>
      <c r="E5" s="5" t="str">
        <f>VLOOKUP(VLOOKUP($B$3,PEDIDO!$A:$E,4,FALSE),BARRIO!$A:$D,2,FALSE)</f>
        <v>Sol</v>
      </c>
    </row>
    <row r="6" spans="1:6" x14ac:dyDescent="0.3">
      <c r="A6" s="3" t="s">
        <v>74</v>
      </c>
      <c r="B6" s="5" t="str">
        <f>VLOOKUP(VLOOKUP($B$3,PEDIDO!$A:$E,3,FALSE),PRODUCTO!$A:$C,2,FALSE)</f>
        <v>Difusor aromático ultrasónico</v>
      </c>
      <c r="D6" s="3" t="s">
        <v>75</v>
      </c>
      <c r="E6" s="5" t="str">
        <f>VLOOKUP(VLOOKUP(VLOOKUP($B$3,PEDIDO!$A:$E,4,FALSE),BARRIO!$A:$D,4,FALSE),MUNICIPIO!$A:$D,2,FALSE)</f>
        <v>Madrid</v>
      </c>
    </row>
    <row r="7" spans="1:6" x14ac:dyDescent="0.3">
      <c r="A7" s="3" t="s">
        <v>76</v>
      </c>
      <c r="B7" s="6">
        <f>VLOOKUP(VLOOKUP($B$3,PEDIDO!$A:$E,3,FALSE),PRODUCTO!$A:$C,3,FALSE)</f>
        <v>98000</v>
      </c>
      <c r="D7" s="3" t="s">
        <v>77</v>
      </c>
      <c r="E7" s="5" t="str">
        <f>VLOOKUP(VLOOKUP(VLOOKUP(VLOOKUP($B$3,PEDIDO!$A:$E,4,FALSE),BARRIO!$A:$D,4,FALSE),MUNICIPIO!$A:$D,4,FALSE),DEPARTAMENTO!$A:$D,2,FALSE)</f>
        <v>Madrid</v>
      </c>
    </row>
    <row r="8" spans="1:6" x14ac:dyDescent="0.3">
      <c r="A8" s="3" t="s">
        <v>78</v>
      </c>
      <c r="B8" s="5" t="str">
        <f>VLOOKUP(VLOOKUP($B$3,PEDIDO!$A:$E,5,FALSE),MUNICIPIO!$A:$D,2,FALSE)</f>
        <v>Bogotá</v>
      </c>
      <c r="D8" s="3" t="s">
        <v>79</v>
      </c>
      <c r="E8" s="5" t="str">
        <f>VLOOKUP(VLOOKUP(VLOOKUP(VLOOKUP(VLOOKUP($B$3,PEDIDO!$A:$E,4,FALSE),BARRIO!$A:$D,4,FALSE),MUNICIPIO!$A:$D,4,FALSE),DEPARTAMENTO!$A:$D,4,FALSE),PAIS!$A:$D,2,FALSE)</f>
        <v>España</v>
      </c>
    </row>
    <row r="9" spans="1:6" x14ac:dyDescent="0.3">
      <c r="A9" s="3" t="s">
        <v>80</v>
      </c>
      <c r="B9" s="5" t="str">
        <f>VLOOKUP(VLOOKUP(VLOOKUP($B$3,PEDIDO!$A:$E,5,FALSE),MUNICIPIO!$A:$D,4,FALSE),DEPARTAMENTO!$A:$D,2,FALSE)</f>
        <v>Cundinamarca</v>
      </c>
      <c r="D9" s="3" t="s">
        <v>81</v>
      </c>
      <c r="E9" s="5" t="str">
        <f>VLOOKUP(VLOOKUP(VLOOKUP(VLOOKUP(VLOOKUP(VLOOKUP($B$3,PEDIDO!$A:$E,4,FALSE),BARRIO!$A:$D,4,FALSE),MUNICIPIO!$A:$D,4,FALSE),DEPARTAMENTO!$A:$D,4,FALSE),PAIS!$A:$D,4,FALSE),CONTINENTE!$A:$C,2,FALSE)</f>
        <v>Europa</v>
      </c>
    </row>
    <row r="10" spans="1:6" x14ac:dyDescent="0.3">
      <c r="A10" s="3" t="s">
        <v>82</v>
      </c>
      <c r="B10" s="5" t="str">
        <f>VLOOKUP(VLOOKUP(VLOOKUP(VLOOKUP($B$3,PEDIDO!$A:$E,5,FALSE),MUNICIPIO!$A:$D,4,FALSE),DEPARTAMENTO!$A:$D,4,FALSE),PAIS!$A:$D,2,FALSE)</f>
        <v>Colombia</v>
      </c>
    </row>
    <row r="11" spans="1:6" x14ac:dyDescent="0.3">
      <c r="A11" s="3" t="s">
        <v>83</v>
      </c>
      <c r="B11" s="5" t="str">
        <f>VLOOKUP(VLOOKUP(VLOOKUP(VLOOKUP(VLOOKUP($B$3,PEDIDO!$A:$E,5,FALSE),MUNICIPIO!$A:$D,4,FALSE),DEPARTAMENTO!$A:$D,4,FALSE),PAIS!$A:$D,4,FALSE),CONTINENTE!$A:$C,2,FALSE)</f>
        <v>América</v>
      </c>
    </row>
    <row r="13" spans="1:6" x14ac:dyDescent="0.3">
      <c r="A13" s="3" t="s">
        <v>84</v>
      </c>
      <c r="B13" s="7" t="str">
        <f>"El producto """&amp;B6&amp;""" fue enviado desde "&amp;B8&amp;" ("&amp;B9&amp;", "&amp;B10&amp;", "&amp;B11&amp;") hacia el barrio "&amp;E5&amp;", en "&amp;E6&amp;" ("&amp;E7&amp;", "&amp;E8&amp;", "&amp;E9&amp;")."</f>
        <v>El producto "Difusor aromático ultrasónico" fue enviado desde Bogotá (Cundinamarca, Colombia, América) hacia el barrio Sol, en Madrid (Madrid, España, Europa).</v>
      </c>
      <c r="C13" s="8"/>
      <c r="D13" s="8"/>
      <c r="E13" s="8"/>
      <c r="F13" s="8"/>
    </row>
    <row r="14" spans="1:6" x14ac:dyDescent="0.3">
      <c r="B14" s="8"/>
      <c r="C14" s="8"/>
      <c r="D14" s="8"/>
      <c r="E14" s="8"/>
      <c r="F14" s="8"/>
    </row>
    <row r="15" spans="1:6" x14ac:dyDescent="0.3">
      <c r="B15" s="8"/>
      <c r="C15" s="8"/>
      <c r="D15" s="8"/>
      <c r="E15" s="8"/>
      <c r="F15" s="8"/>
    </row>
  </sheetData>
  <mergeCells count="2">
    <mergeCell ref="B13:F15"/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prompt="Seleccione el código del pedido" xr:uid="{00000000-0002-0000-0700-000000000000}">
          <x14:formula1>
            <xm:f>PEDIDO!$A$2:$A$9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CONTINENTE</vt:lpstr>
      <vt:lpstr>PAIS</vt:lpstr>
      <vt:lpstr>DEPARTAMENTO</vt:lpstr>
      <vt:lpstr>MUNICIPIO</vt:lpstr>
      <vt:lpstr>BARRIO</vt:lpstr>
      <vt:lpstr>PRODUCTO</vt:lpstr>
      <vt:lpstr>PEDIDO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JANNIER JOHAN OTAVO ARTUNDUAGA</cp:lastModifiedBy>
  <dcterms:created xsi:type="dcterms:W3CDTF">2026-03-02T19:12:48Z</dcterms:created>
  <dcterms:modified xsi:type="dcterms:W3CDTF">2026-03-02T19:17:40Z</dcterms:modified>
</cp:coreProperties>
</file>